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dc5bf356649728/Desktop/"/>
    </mc:Choice>
  </mc:AlternateContent>
  <xr:revisionPtr revIDLastSave="62" documentId="8_{A54441BB-EE65-4A2C-85F8-E3CB7136FE7A}" xr6:coauthVersionLast="47" xr6:coauthVersionMax="47" xr10:uidLastSave="{173C4B58-9C69-44C1-A85D-DEAFA4374C17}"/>
  <bookViews>
    <workbookView xWindow="-108" yWindow="-108" windowWidth="23256" windowHeight="12456" activeTab="3" xr2:uid="{CF83B59E-D717-4F32-8FFF-0642B872000A}"/>
  </bookViews>
  <sheets>
    <sheet name="Detail1" sheetId="5" r:id="rId1"/>
    <sheet name="Sheet3" sheetId="3" r:id="rId2"/>
    <sheet name="Sheet1" sheetId="1" r:id="rId3"/>
    <sheet name="Sheet2" sheetId="2" r:id="rId4"/>
  </sheet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D4" i="2"/>
  <c r="D3" i="2"/>
  <c r="D2" i="2"/>
  <c r="H7" i="1"/>
  <c r="H8" i="1"/>
  <c r="H9" i="1"/>
  <c r="H10" i="1"/>
  <c r="H11" i="1"/>
  <c r="H12" i="1"/>
  <c r="H13" i="1"/>
  <c r="G7" i="1"/>
  <c r="G8" i="1"/>
  <c r="G9" i="1"/>
  <c r="G10" i="1"/>
  <c r="F7" i="1"/>
  <c r="F8" i="1"/>
  <c r="F9" i="1"/>
  <c r="F10" i="1"/>
  <c r="F11" i="1"/>
  <c r="F12" i="1" s="1"/>
  <c r="F13" i="1" s="1"/>
  <c r="G13" i="1" s="1"/>
  <c r="E7" i="1"/>
  <c r="E8" i="1"/>
  <c r="E9" i="1"/>
  <c r="E10" i="1"/>
  <c r="E11" i="1"/>
  <c r="E12" i="1"/>
  <c r="E13" i="1"/>
  <c r="D7" i="1"/>
  <c r="C7" i="1"/>
  <c r="C8" i="1"/>
  <c r="H6" i="1"/>
  <c r="G6" i="1"/>
  <c r="F6" i="1"/>
  <c r="E6" i="1"/>
  <c r="D6" i="1"/>
  <c r="C6" i="1"/>
  <c r="G12" i="1" l="1"/>
  <c r="G11" i="1"/>
  <c r="D8" i="1"/>
  <c r="C9" i="1" s="1"/>
  <c r="D9" i="1" l="1"/>
  <c r="C10" i="1" s="1"/>
  <c r="D10" i="1" l="1"/>
  <c r="C11" i="1" s="1"/>
  <c r="D11" i="1" l="1"/>
  <c r="C12" i="1" s="1"/>
  <c r="D12" i="1" l="1"/>
  <c r="C13" i="1" s="1"/>
  <c r="D13" i="1" s="1"/>
</calcChain>
</file>

<file path=xl/sharedStrings.xml><?xml version="1.0" encoding="utf-8"?>
<sst xmlns="http://schemas.openxmlformats.org/spreadsheetml/2006/main" count="40" uniqueCount="25">
  <si>
    <t>Holt's Tt</t>
  </si>
  <si>
    <t>Holt's Ft</t>
  </si>
  <si>
    <t>Winter's Lt</t>
  </si>
  <si>
    <t>Winter's St</t>
  </si>
  <si>
    <t>Winter's Ft</t>
  </si>
  <si>
    <t>t</t>
  </si>
  <si>
    <t>Dt</t>
  </si>
  <si>
    <t>Holt's Lt</t>
  </si>
  <si>
    <t>Model</t>
  </si>
  <si>
    <t>Sum(e²)</t>
  </si>
  <si>
    <t>n</t>
  </si>
  <si>
    <t>MSE</t>
  </si>
  <si>
    <t>SES</t>
  </si>
  <si>
    <t>Holt</t>
  </si>
  <si>
    <t>Winter</t>
  </si>
  <si>
    <t>Sum of Dt</t>
  </si>
  <si>
    <t>Sum of Holt's Lt</t>
  </si>
  <si>
    <t>Sum of Holt's Tt</t>
  </si>
  <si>
    <t>Sum of Holt's Ft</t>
  </si>
  <si>
    <t>Sum of Winter's Lt</t>
  </si>
  <si>
    <t>Sum of Winter's St</t>
  </si>
  <si>
    <t>Sum of Winter's Ft</t>
  </si>
  <si>
    <t>Details for Sum of Winter's Ft</t>
  </si>
  <si>
    <t>Average of t</t>
  </si>
  <si>
    <t>Predicting for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</si>
</sst>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NumberFormat="1" applyBorder="1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[Forecase_Holt_zsa.xlsx]Sheet3!PivotTable2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Sheet3!$A$3</c:f>
              <c:strCache>
                <c:ptCount val="1"/>
                <c:pt idx="0">
                  <c:v>Average of 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Sheet3!$A$4</c:f>
              <c:numCache>
                <c:formatCode>General</c:formatCode>
                <c:ptCount val="1"/>
                <c:pt idx="0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E-40B5-B578-46231CDD578E}"/>
            </c:ext>
          </c:extLst>
        </c:ser>
        <c:ser>
          <c:idx val="1"/>
          <c:order val="1"/>
          <c:tx>
            <c:strRef>
              <c:f>Sheet3!$B$3</c:f>
              <c:strCache>
                <c:ptCount val="1"/>
                <c:pt idx="0">
                  <c:v>Sum of Dt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Sheet3!$B$4</c:f>
              <c:numCache>
                <c:formatCode>General</c:formatCode>
                <c:ptCount val="1"/>
                <c:pt idx="0">
                  <c:v>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EE-40B5-B578-46231CDD578E}"/>
            </c:ext>
          </c:extLst>
        </c:ser>
        <c:ser>
          <c:idx val="2"/>
          <c:order val="2"/>
          <c:tx>
            <c:strRef>
              <c:f>Sheet3!$C$3</c:f>
              <c:strCache>
                <c:ptCount val="1"/>
                <c:pt idx="0">
                  <c:v>Sum of Holt's 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Sheet3!$C$4</c:f>
              <c:numCache>
                <c:formatCode>General</c:formatCode>
                <c:ptCount val="1"/>
                <c:pt idx="0">
                  <c:v>1057.5226691889529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EE-40B5-B578-46231CDD578E}"/>
            </c:ext>
          </c:extLst>
        </c:ser>
        <c:ser>
          <c:idx val="3"/>
          <c:order val="3"/>
          <c:tx>
            <c:strRef>
              <c:f>Sheet3!$D$3</c:f>
              <c:strCache>
                <c:ptCount val="1"/>
                <c:pt idx="0">
                  <c:v>Sum of Holt's Tt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Sheet3!$D$4</c:f>
              <c:numCache>
                <c:formatCode>General</c:formatCode>
                <c:ptCount val="1"/>
                <c:pt idx="0">
                  <c:v>-74.255760933272953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EE-40B5-B578-46231CDD578E}"/>
            </c:ext>
          </c:extLst>
        </c:ser>
        <c:ser>
          <c:idx val="4"/>
          <c:order val="4"/>
          <c:tx>
            <c:strRef>
              <c:f>Sheet3!$E$3</c:f>
              <c:strCache>
                <c:ptCount val="1"/>
                <c:pt idx="0">
                  <c:v>Sum of Holt's 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Sheet3!$E$4</c:f>
              <c:numCache>
                <c:formatCode>General</c:formatCode>
                <c:ptCount val="1"/>
                <c:pt idx="0">
                  <c:v>909.87111531492144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EE-40B5-B578-46231CDD578E}"/>
            </c:ext>
          </c:extLst>
        </c:ser>
        <c:ser>
          <c:idx val="5"/>
          <c:order val="5"/>
          <c:tx>
            <c:strRef>
              <c:f>Sheet3!$F$3</c:f>
              <c:strCache>
                <c:ptCount val="1"/>
                <c:pt idx="0">
                  <c:v>Sum of Winter's Lt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Sheet3!$F$4</c:f>
              <c:numCache>
                <c:formatCode>General</c:formatCode>
                <c:ptCount val="1"/>
                <c:pt idx="0">
                  <c:v>1123.9344184323731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EE-40B5-B578-46231CDD578E}"/>
            </c:ext>
          </c:extLst>
        </c:ser>
        <c:ser>
          <c:idx val="6"/>
          <c:order val="6"/>
          <c:tx>
            <c:strRef>
              <c:f>Sheet3!$G$3</c:f>
              <c:strCache>
                <c:ptCount val="1"/>
                <c:pt idx="0">
                  <c:v>Sum of Winter's 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Sheet3!$G$4</c:f>
              <c:numCache>
                <c:formatCode>General</c:formatCode>
                <c:ptCount val="1"/>
                <c:pt idx="0">
                  <c:v>11.895596110860421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EE-40B5-B578-46231CDD578E}"/>
            </c:ext>
          </c:extLst>
        </c:ser>
        <c:ser>
          <c:idx val="7"/>
          <c:order val="7"/>
          <c:tx>
            <c:strRef>
              <c:f>Sheet3!$H$3</c:f>
              <c:strCache>
                <c:ptCount val="1"/>
                <c:pt idx="0">
                  <c:v>Sum of Winter's Ft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Sheet3!$H$4</c:f>
              <c:numCache>
                <c:formatCode>General</c:formatCode>
                <c:ptCount val="1"/>
                <c:pt idx="0">
                  <c:v>743.07926444532154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EE-40B5-B578-46231CDD5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189200"/>
        <c:axId val="733199760"/>
      </c:barChart>
      <c:catAx>
        <c:axId val="73318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99760"/>
        <c:crosses val="autoZero"/>
        <c:auto val="1"/>
        <c:lblAlgn val="ctr"/>
        <c:lblOffset val="100"/>
        <c:noMultiLvlLbl val="0"/>
      </c:catAx>
      <c:valAx>
        <c:axId val="73319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18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Actual vs Forecasted Inventory Levels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52-4230-B9E4-F024BF81B53B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Dt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110</c:v>
                </c:pt>
                <c:pt idx="2">
                  <c:v>90</c:v>
                </c:pt>
                <c:pt idx="3">
                  <c:v>85</c:v>
                </c:pt>
                <c:pt idx="4">
                  <c:v>105</c:v>
                </c:pt>
                <c:pt idx="5">
                  <c:v>96</c:v>
                </c:pt>
                <c:pt idx="6">
                  <c:v>80</c:v>
                </c:pt>
                <c:pt idx="7">
                  <c:v>75</c:v>
                </c:pt>
                <c:pt idx="8">
                  <c:v>100</c:v>
                </c:pt>
                <c:pt idx="9">
                  <c:v>92</c:v>
                </c:pt>
                <c:pt idx="10">
                  <c:v>76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52-4230-B9E4-F024BF81B53B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Holt's 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Sheet1!$C$2:$C$13</c:f>
              <c:numCache>
                <c:formatCode>General</c:formatCode>
                <c:ptCount val="12"/>
                <c:pt idx="0">
                  <c:v>120</c:v>
                </c:pt>
                <c:pt idx="1">
                  <c:v>110</c:v>
                </c:pt>
                <c:pt idx="2">
                  <c:v>96</c:v>
                </c:pt>
                <c:pt idx="3">
                  <c:v>84.4</c:v>
                </c:pt>
                <c:pt idx="4">
                  <c:v>85.56</c:v>
                </c:pt>
                <c:pt idx="5">
                  <c:v>84.988799999999998</c:v>
                </c:pt>
                <c:pt idx="6">
                  <c:v>79.567423999999988</c:v>
                </c:pt>
                <c:pt idx="7">
                  <c:v>74.366507519999985</c:v>
                </c:pt>
                <c:pt idx="8">
                  <c:v>81.321976729599982</c:v>
                </c:pt>
                <c:pt idx="9">
                  <c:v>84.536621047807984</c:v>
                </c:pt>
                <c:pt idx="10">
                  <c:v>80.961013112995829</c:v>
                </c:pt>
                <c:pt idx="11">
                  <c:v>75.820326778549031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52-4230-B9E4-F024BF81B53B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Holt's Tt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Sheet1!$D$2:$D$13</c:f>
              <c:numCache>
                <c:formatCode>General</c:formatCode>
                <c:ptCount val="12"/>
                <c:pt idx="0">
                  <c:v>-10</c:v>
                </c:pt>
                <c:pt idx="1">
                  <c:v>-10</c:v>
                </c:pt>
                <c:pt idx="2">
                  <c:v>-12</c:v>
                </c:pt>
                <c:pt idx="3">
                  <c:v>-11.8</c:v>
                </c:pt>
                <c:pt idx="4">
                  <c:v>-7.9120000000000008</c:v>
                </c:pt>
                <c:pt idx="5">
                  <c:v>-5.7097600000000019</c:v>
                </c:pt>
                <c:pt idx="6">
                  <c:v>-5.6232448000000037</c:v>
                </c:pt>
                <c:pt idx="7">
                  <c:v>-5.4965463040000033</c:v>
                </c:pt>
                <c:pt idx="8">
                  <c:v>-1.7609416499200035</c:v>
                </c:pt>
                <c:pt idx="9">
                  <c:v>-0.26826585948160164</c:v>
                </c:pt>
                <c:pt idx="10">
                  <c:v>-1.2604684820807674</c:v>
                </c:pt>
                <c:pt idx="11">
                  <c:v>-2.4245338377905767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52-4230-B9E4-F024BF81B53B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Holt's Ft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Sheet1!$E$2:$E$13</c:f>
              <c:numCache>
                <c:formatCode>General</c:formatCode>
                <c:ptCount val="12"/>
                <c:pt idx="1">
                  <c:v>110</c:v>
                </c:pt>
                <c:pt idx="2">
                  <c:v>100</c:v>
                </c:pt>
                <c:pt idx="3">
                  <c:v>84</c:v>
                </c:pt>
                <c:pt idx="4">
                  <c:v>72.600000000000009</c:v>
                </c:pt>
                <c:pt idx="5">
                  <c:v>77.647999999999996</c:v>
                </c:pt>
                <c:pt idx="6">
                  <c:v>79.279039999999995</c:v>
                </c:pt>
                <c:pt idx="7">
                  <c:v>73.944179199999979</c:v>
                </c:pt>
                <c:pt idx="8">
                  <c:v>68.869961215999979</c:v>
                </c:pt>
                <c:pt idx="9">
                  <c:v>79.561035079679982</c:v>
                </c:pt>
                <c:pt idx="10">
                  <c:v>84.268355188326382</c:v>
                </c:pt>
                <c:pt idx="11">
                  <c:v>79.700544630915061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52-4230-B9E4-F024BF81B53B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Winter's Lt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Sheet1!$F$2:$F$13</c:f>
              <c:numCache>
                <c:formatCode>General</c:formatCode>
                <c:ptCount val="12"/>
                <c:pt idx="0">
                  <c:v>101</c:v>
                </c:pt>
                <c:pt idx="1">
                  <c:v>101</c:v>
                </c:pt>
                <c:pt idx="2">
                  <c:v>101</c:v>
                </c:pt>
                <c:pt idx="3">
                  <c:v>101</c:v>
                </c:pt>
                <c:pt idx="4">
                  <c:v>95.89411764705882</c:v>
                </c:pt>
                <c:pt idx="5">
                  <c:v>92.765828386400429</c:v>
                </c:pt>
                <c:pt idx="6">
                  <c:v>91.614553211615529</c:v>
                </c:pt>
                <c:pt idx="7">
                  <c:v>90.683017641255034</c:v>
                </c:pt>
                <c:pt idx="8">
                  <c:v>88.848413508104954</c:v>
                </c:pt>
                <c:pt idx="9">
                  <c:v>87.590743952306468</c:v>
                </c:pt>
                <c:pt idx="10">
                  <c:v>86.906005382494101</c:v>
                </c:pt>
                <c:pt idx="11">
                  <c:v>85.631738703137586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52-4230-B9E4-F024BF81B53B}"/>
            </c:ext>
          </c:extLst>
        </c:ser>
        <c:ser>
          <c:idx val="6"/>
          <c:order val="6"/>
          <c:tx>
            <c:strRef>
              <c:f>Sheet1!$G$1</c:f>
              <c:strCache>
                <c:ptCount val="1"/>
                <c:pt idx="0">
                  <c:v>Winter's 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Sheet1!$G$2:$G$13</c:f>
              <c:numCache>
                <c:formatCode>General</c:formatCode>
                <c:ptCount val="12"/>
                <c:pt idx="0">
                  <c:v>1.19</c:v>
                </c:pt>
                <c:pt idx="1">
                  <c:v>1.0900000000000001</c:v>
                </c:pt>
                <c:pt idx="2">
                  <c:v>0.89</c:v>
                </c:pt>
                <c:pt idx="3">
                  <c:v>0.84</c:v>
                </c:pt>
                <c:pt idx="4">
                  <c:v>1.1614873021715126</c:v>
                </c:pt>
                <c:pt idx="5">
                  <c:v>1.0734591475218487</c:v>
                </c:pt>
                <c:pt idx="6">
                  <c:v>0.88496711285120488</c:v>
                </c:pt>
                <c:pt idx="7">
                  <c:v>0.83611701887789758</c:v>
                </c:pt>
                <c:pt idx="8">
                  <c:v>1.1506948614912198</c:v>
                </c:pt>
                <c:pt idx="9">
                  <c:v>1.0665231909042747</c:v>
                </c:pt>
                <c:pt idx="10">
                  <c:v>0.8818293895070819</c:v>
                </c:pt>
                <c:pt idx="11">
                  <c:v>0.83051808753537681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52-4230-B9E4-F024BF81B53B}"/>
            </c:ext>
          </c:extLst>
        </c:ser>
        <c:ser>
          <c:idx val="7"/>
          <c:order val="7"/>
          <c:tx>
            <c:strRef>
              <c:f>Sheet1!$H$1</c:f>
              <c:strCache>
                <c:ptCount val="1"/>
                <c:pt idx="0">
                  <c:v>Winter's Ft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Sheet1!$H$2:$H$13</c:f>
              <c:numCache>
                <c:formatCode>General</c:formatCode>
                <c:ptCount val="12"/>
                <c:pt idx="4">
                  <c:v>121.38</c:v>
                </c:pt>
                <c:pt idx="5">
                  <c:v>105.61458823529412</c:v>
                </c:pt>
                <c:pt idx="6">
                  <c:v>83.451587263896386</c:v>
                </c:pt>
                <c:pt idx="7">
                  <c:v>77.79622469775704</c:v>
                </c:pt>
                <c:pt idx="8">
                  <c:v>106.48866081508451</c:v>
                </c:pt>
                <c:pt idx="9">
                  <c:v>96.448601370600898</c:v>
                </c:pt>
                <c:pt idx="10">
                  <c:v>78.399894900812996</c:v>
                </c:pt>
                <c:pt idx="11">
                  <c:v>73.499707161875392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C52-4230-B9E4-F024BF81B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215087"/>
        <c:axId val="834216047"/>
      </c:lineChart>
      <c:catAx>
        <c:axId val="834215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216047"/>
        <c:crosses val="autoZero"/>
        <c:auto val="1"/>
        <c:lblAlgn val="ctr"/>
        <c:lblOffset val="100"/>
        <c:noMultiLvlLbl val="0"/>
      </c:catAx>
      <c:valAx>
        <c:axId val="8342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21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518160</xdr:colOff>
      <xdr:row>6</xdr:row>
      <xdr:rowOff>0</xdr:rowOff>
    </xdr:from>
    <xdr:to>
      <xdr:col>11</xdr:col>
      <xdr:colOff>266700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5CA06-BC4D-FEDA-2309-9942E5E89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281940</xdr:colOff>
      <xdr:row>0</xdr:row>
      <xdr:rowOff>167640</xdr:rowOff>
    </xdr:from>
    <xdr:to>
      <xdr:col>19</xdr:col>
      <xdr:colOff>152400</xdr:colOff>
      <xdr:row>22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767A76-247B-2C2D-D7FB-16E0AA377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t Zaw Aung" refreshedDate="45965.481703124999" createdVersion="8" refreshedVersion="8" minRefreshableVersion="3" recordCount="12" xr:uid="{F4852422-B411-4FFF-A863-EA3C3AED0D25}">
  <cacheSource type="worksheet">
    <worksheetSource name="Table2"/>
  </cacheSource>
  <cacheFields count="8">
    <cacheField name="t" numFmtId="0">
      <sharedItems containsSemiMixedTypes="0" containsString="0" containsNumber="1" containsInteger="1" minValue="1" maxValue="12"/>
    </cacheField>
    <cacheField name="Dt" numFmtId="0">
      <sharedItems containsSemiMixedTypes="0" containsString="0" containsNumber="1" containsInteger="1" minValue="70" maxValue="120"/>
    </cacheField>
    <cacheField name="Holt's Lt" numFmtId="0">
      <sharedItems containsSemiMixedTypes="0" containsString="0" containsNumber="1" minValue="74.366507519999985" maxValue="120"/>
    </cacheField>
    <cacheField name="Holt's Tt" numFmtId="0">
      <sharedItems containsSemiMixedTypes="0" containsString="0" containsNumber="1" minValue="-12" maxValue="-0.26826585948160164"/>
    </cacheField>
    <cacheField name="Holt's Ft" numFmtId="0">
      <sharedItems containsString="0" containsBlank="1" containsNumber="1" minValue="68.869961215999979" maxValue="110"/>
    </cacheField>
    <cacheField name="Winter's Lt" numFmtId="0">
      <sharedItems containsSemiMixedTypes="0" containsString="0" containsNumber="1" minValue="85.631738703137586" maxValue="101"/>
    </cacheField>
    <cacheField name="Winter's St" numFmtId="0">
      <sharedItems containsSemiMixedTypes="0" containsString="0" containsNumber="1" minValue="0.83051808753537681" maxValue="1.19"/>
    </cacheField>
    <cacheField name="Winter's Ft" numFmtId="0">
      <sharedItems containsString="0" containsBlank="1" containsNumber="1" minValue="73.499707161875392" maxValue="121.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n v="120"/>
    <n v="120"/>
    <n v="-10"/>
    <m/>
    <n v="101"/>
    <n v="1.19"/>
    <m/>
  </r>
  <r>
    <n v="2"/>
    <n v="110"/>
    <n v="110"/>
    <n v="-10"/>
    <n v="110"/>
    <n v="101"/>
    <n v="1.0900000000000001"/>
    <m/>
  </r>
  <r>
    <n v="3"/>
    <n v="90"/>
    <n v="96"/>
    <n v="-12"/>
    <n v="100"/>
    <n v="101"/>
    <n v="0.89"/>
    <m/>
  </r>
  <r>
    <n v="4"/>
    <n v="85"/>
    <n v="84.4"/>
    <n v="-11.8"/>
    <n v="84"/>
    <n v="101"/>
    <n v="0.84"/>
    <m/>
  </r>
  <r>
    <n v="5"/>
    <n v="105"/>
    <n v="85.56"/>
    <n v="-7.9120000000000008"/>
    <n v="72.600000000000009"/>
    <n v="95.89411764705882"/>
    <n v="1.1614873021715126"/>
    <n v="121.38"/>
  </r>
  <r>
    <n v="6"/>
    <n v="96"/>
    <n v="84.988799999999998"/>
    <n v="-5.7097600000000019"/>
    <n v="77.647999999999996"/>
    <n v="92.765828386400429"/>
    <n v="1.0734591475218487"/>
    <n v="105.61458823529412"/>
  </r>
  <r>
    <n v="7"/>
    <n v="80"/>
    <n v="79.567423999999988"/>
    <n v="-5.6232448000000037"/>
    <n v="79.279039999999995"/>
    <n v="91.614553211615529"/>
    <n v="0.88496711285120488"/>
    <n v="83.451587263896386"/>
  </r>
  <r>
    <n v="8"/>
    <n v="75"/>
    <n v="74.366507519999985"/>
    <n v="-5.4965463040000033"/>
    <n v="73.944179199999979"/>
    <n v="90.683017641255034"/>
    <n v="0.83611701887789758"/>
    <n v="77.79622469775704"/>
  </r>
  <r>
    <n v="9"/>
    <n v="100"/>
    <n v="81.321976729599982"/>
    <n v="-1.7609416499200035"/>
    <n v="68.869961215999979"/>
    <n v="88.848413508104954"/>
    <n v="1.1506948614912198"/>
    <n v="106.48866081508451"/>
  </r>
  <r>
    <n v="10"/>
    <n v="92"/>
    <n v="84.536621047807984"/>
    <n v="-0.26826585948160164"/>
    <n v="79.561035079679982"/>
    <n v="87.590743952306468"/>
    <n v="1.0665231909042747"/>
    <n v="96.448601370600898"/>
  </r>
  <r>
    <n v="11"/>
    <n v="76"/>
    <n v="80.961013112995829"/>
    <n v="-1.2604684820807674"/>
    <n v="84.268355188326382"/>
    <n v="86.906005382494101"/>
    <n v="0.8818293895070819"/>
    <n v="78.399894900812996"/>
  </r>
  <r>
    <n v="12"/>
    <n v="70"/>
    <n v="75.820326778549031"/>
    <n v="-2.4245338377905767"/>
    <n v="79.700544630915061"/>
    <n v="85.631738703137586"/>
    <n v="0.83051808753537681"/>
    <n v="73.4997071618753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95349-E68E-4A62-90A3-99377C2FD008}" name="PivotTable2" cacheId="5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">
  <location ref="A3:H4" firstHeaderRow="0" firstDataRow="1" firstDataCol="0"/>
  <pivotFields count="8"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Average of t" fld="0" subtotal="average" baseField="0" baseItem="1"/>
    <dataField name="Sum of Dt" fld="1" baseField="0" baseItem="0"/>
    <dataField name="Sum of Holt's Lt" fld="2" baseField="0" baseItem="0"/>
    <dataField name="Sum of Holt's Tt" fld="3" baseField="0" baseItem="0"/>
    <dataField name="Sum of Holt's Ft" fld="4" baseField="0" baseItem="0"/>
    <dataField name="Sum of Winter's Lt" fld="5" baseField="0" baseItem="0"/>
    <dataField name="Sum of Winter's St" fld="6" baseField="0" baseItem="0"/>
    <dataField name="Sum of Winter's Ft" fld="7" baseField="0" baseItem="0"/>
  </dataFields>
  <formats count="3"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7B3BA3-5FE6-435B-AB66-49DA70974761}" name="Table3" displayName="Table3" ref="A3:H15" totalsRowShown="0">
  <autoFilter ref="A3:H15" xr:uid="{267B3BA3-5FE6-435B-AB66-49DA70974761}"/>
  <tableColumns count="8">
    <tableColumn id="1" xr3:uid="{4938A479-AD07-4D93-8DD8-05ED012A6987}" name="t"/>
    <tableColumn id="2" xr3:uid="{8C59AA00-699D-4750-99A0-DC5FB04321FD}" name="Dt"/>
    <tableColumn id="3" xr3:uid="{E2990291-536F-444F-AC43-6D9DDC1FD353}" name="Holt's Lt"/>
    <tableColumn id="4" xr3:uid="{F235C65F-F0D3-4A1C-8386-A98BD5AAB8B1}" name="Holt's Tt"/>
    <tableColumn id="5" xr3:uid="{70DA1452-7799-4D3A-84D8-8AB531B9720B}" name="Holt's Ft"/>
    <tableColumn id="6" xr3:uid="{3E4E5A0D-CC40-4C98-B886-3ED88FB9C143}" name="Winter's Lt"/>
    <tableColumn id="7" xr3:uid="{01FAF17D-C23A-4D93-AC3B-9852F06F1E3A}" name="Winter's St"/>
    <tableColumn id="8" xr3:uid="{4F7D0026-14A4-474C-80A4-CBAD7B15D9F8}" name="Winter's F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449B4-B10B-41E8-8CDF-547BBFA664DD}" name="Table1" displayName="Table1" ref="A15:D18" totalsRowShown="0" headerRowDxfId="22" headerRowBorderDxfId="21" tableBorderDxfId="20" totalsRowBorderDxfId="19">
  <autoFilter ref="A15:D18" xr:uid="{B01449B4-B10B-41E8-8CDF-547BBFA664DD}"/>
  <tableColumns count="4">
    <tableColumn id="1" xr3:uid="{2612F201-AE07-41B2-88DF-08C33DEB9F6C}" name="Model" dataDxfId="18"/>
    <tableColumn id="2" xr3:uid="{89C080BC-66DB-4CF6-ABB7-C856B4C88D11}" name="Sum(e²)" dataDxfId="17"/>
    <tableColumn id="3" xr3:uid="{41A06FF8-1FA1-4B9B-9179-D8D870848416}" name="n" dataDxfId="16"/>
    <tableColumn id="4" xr3:uid="{10915AB3-48B7-4A76-8A7C-D996B5D23C38}" name="MSE" dataDxfId="15">
      <calculatedColumnFormula>B16/C16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5EC8D8-B54D-4A14-8E6C-CB92B0BA453D}" name="Table2" displayName="Table2" ref="A1:H13" totalsRowShown="0" headerRowDxfId="14" headerRowBorderDxfId="13" tableBorderDxfId="12" totalsRowBorderDxfId="11">
  <autoFilter ref="A1:H13" xr:uid="{CB5EC8D8-B54D-4A14-8E6C-CB92B0BA453D}"/>
  <tableColumns count="8">
    <tableColumn id="1" xr3:uid="{A064D377-BF17-4301-B6C5-FB1375B064C5}" name="t" dataDxfId="10"/>
    <tableColumn id="2" xr3:uid="{4CFD9B20-FD91-4614-A09C-3E6DAFA69E31}" name="Dt" dataDxfId="9"/>
    <tableColumn id="3" xr3:uid="{11D6CB22-1627-43FC-9D74-C0B45AEAF885}" name="Holt's Lt" dataDxfId="8">
      <calculatedColumnFormula>0.4*B2+(1-0.4)*(C1+D1)</calculatedColumnFormula>
    </tableColumn>
    <tableColumn id="4" xr3:uid="{64B6A4C6-6138-45AC-BFAB-A91AB81610B3}" name="Holt's Tt" dataDxfId="7">
      <calculatedColumnFormula>0.3*(C2-C1)+(1-0.3)*D1</calculatedColumnFormula>
    </tableColumn>
    <tableColumn id="5" xr3:uid="{D7AC1A85-649F-4A71-BC4F-3422806536A6}" name="Holt's Ft" dataDxfId="6">
      <calculatedColumnFormula>C1+1*D1</calculatedColumnFormula>
    </tableColumn>
    <tableColumn id="6" xr3:uid="{48301F6D-91AB-442B-B601-B2F10B332D19}" name="Winter's Lt" dataDxfId="5"/>
    <tableColumn id="7" xr3:uid="{FE1A96A2-D1AA-4725-9B7E-5873962DAAD1}" name="Winter's St" dataDxfId="4"/>
    <tableColumn id="8" xr3:uid="{1187D7BC-A74E-482D-A72F-DEEABB7AB06F}" name="Winter's Ft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AFEE-D969-410F-9609-7713116DB265}">
  <dimension ref="A1:H15"/>
  <sheetViews>
    <sheetView workbookViewId="0">
      <selection activeCell="A3" sqref="A3:H15"/>
    </sheetView>
  </sheetViews>
  <sheetFormatPr defaultRowHeight="14.4" x14ac:dyDescent="0.3"/>
  <cols>
    <col min="1" max="2" width="9" bestFit="1" customWidth="1"/>
    <col min="3" max="3" width="9.88671875" bestFit="1" customWidth="1"/>
    <col min="4" max="4" width="10" bestFit="1" customWidth="1"/>
    <col min="5" max="5" width="9.88671875" bestFit="1" customWidth="1"/>
    <col min="6" max="6" width="12.109375" bestFit="1" customWidth="1"/>
    <col min="7" max="7" width="12.21875" bestFit="1" customWidth="1"/>
    <col min="8" max="8" width="12.109375" bestFit="1" customWidth="1"/>
  </cols>
  <sheetData>
    <row r="1" spans="1:8" x14ac:dyDescent="0.3">
      <c r="A1" s="11" t="s">
        <v>22</v>
      </c>
    </row>
    <row r="3" spans="1:8" x14ac:dyDescent="0.3">
      <c r="A3" t="s">
        <v>5</v>
      </c>
      <c r="B3" t="s">
        <v>6</v>
      </c>
      <c r="C3" t="s">
        <v>7</v>
      </c>
      <c r="D3" t="s">
        <v>0</v>
      </c>
      <c r="E3" t="s">
        <v>1</v>
      </c>
      <c r="F3" t="s">
        <v>2</v>
      </c>
      <c r="G3" t="s">
        <v>3</v>
      </c>
      <c r="H3" t="s">
        <v>4</v>
      </c>
    </row>
    <row r="4" spans="1:8" x14ac:dyDescent="0.3">
      <c r="A4">
        <v>1</v>
      </c>
      <c r="B4">
        <v>120</v>
      </c>
      <c r="C4">
        <v>120</v>
      </c>
      <c r="D4">
        <v>-10</v>
      </c>
      <c r="F4">
        <v>101</v>
      </c>
      <c r="G4">
        <v>1.19</v>
      </c>
    </row>
    <row r="5" spans="1:8" x14ac:dyDescent="0.3">
      <c r="A5">
        <v>2</v>
      </c>
      <c r="B5">
        <v>110</v>
      </c>
      <c r="C5">
        <v>110</v>
      </c>
      <c r="D5">
        <v>-10</v>
      </c>
      <c r="E5">
        <v>110</v>
      </c>
      <c r="F5">
        <v>101</v>
      </c>
      <c r="G5">
        <v>1.0900000000000001</v>
      </c>
    </row>
    <row r="6" spans="1:8" x14ac:dyDescent="0.3">
      <c r="A6">
        <v>3</v>
      </c>
      <c r="B6">
        <v>90</v>
      </c>
      <c r="C6">
        <v>96</v>
      </c>
      <c r="D6">
        <v>-12</v>
      </c>
      <c r="E6">
        <v>100</v>
      </c>
      <c r="F6">
        <v>101</v>
      </c>
      <c r="G6">
        <v>0.89</v>
      </c>
    </row>
    <row r="7" spans="1:8" x14ac:dyDescent="0.3">
      <c r="A7">
        <v>4</v>
      </c>
      <c r="B7">
        <v>85</v>
      </c>
      <c r="C7">
        <v>84.4</v>
      </c>
      <c r="D7">
        <v>-11.8</v>
      </c>
      <c r="E7">
        <v>84</v>
      </c>
      <c r="F7">
        <v>101</v>
      </c>
      <c r="G7">
        <v>0.84</v>
      </c>
    </row>
    <row r="8" spans="1:8" x14ac:dyDescent="0.3">
      <c r="A8">
        <v>5</v>
      </c>
      <c r="B8">
        <v>105</v>
      </c>
      <c r="C8">
        <v>85.56</v>
      </c>
      <c r="D8">
        <v>-7.9120000000000008</v>
      </c>
      <c r="E8">
        <v>72.600000000000009</v>
      </c>
      <c r="F8">
        <v>95.89411764705882</v>
      </c>
      <c r="G8">
        <v>1.1614873021715126</v>
      </c>
      <c r="H8">
        <v>121.38</v>
      </c>
    </row>
    <row r="9" spans="1:8" x14ac:dyDescent="0.3">
      <c r="A9">
        <v>6</v>
      </c>
      <c r="B9">
        <v>96</v>
      </c>
      <c r="C9">
        <v>84.988799999999998</v>
      </c>
      <c r="D9">
        <v>-5.7097600000000019</v>
      </c>
      <c r="E9">
        <v>77.647999999999996</v>
      </c>
      <c r="F9">
        <v>92.765828386400429</v>
      </c>
      <c r="G9">
        <v>1.0734591475218487</v>
      </c>
      <c r="H9">
        <v>105.61458823529412</v>
      </c>
    </row>
    <row r="10" spans="1:8" x14ac:dyDescent="0.3">
      <c r="A10">
        <v>7</v>
      </c>
      <c r="B10">
        <v>80</v>
      </c>
      <c r="C10">
        <v>79.567423999999988</v>
      </c>
      <c r="D10">
        <v>-5.6232448000000037</v>
      </c>
      <c r="E10">
        <v>79.279039999999995</v>
      </c>
      <c r="F10">
        <v>91.614553211615529</v>
      </c>
      <c r="G10">
        <v>0.88496711285120488</v>
      </c>
      <c r="H10">
        <v>83.451587263896386</v>
      </c>
    </row>
    <row r="11" spans="1:8" x14ac:dyDescent="0.3">
      <c r="A11">
        <v>8</v>
      </c>
      <c r="B11">
        <v>75</v>
      </c>
      <c r="C11">
        <v>74.366507519999985</v>
      </c>
      <c r="D11">
        <v>-5.4965463040000033</v>
      </c>
      <c r="E11">
        <v>73.944179199999979</v>
      </c>
      <c r="F11">
        <v>90.683017641255034</v>
      </c>
      <c r="G11">
        <v>0.83611701887789758</v>
      </c>
      <c r="H11">
        <v>77.79622469775704</v>
      </c>
    </row>
    <row r="12" spans="1:8" x14ac:dyDescent="0.3">
      <c r="A12">
        <v>9</v>
      </c>
      <c r="B12">
        <v>100</v>
      </c>
      <c r="C12">
        <v>81.321976729599982</v>
      </c>
      <c r="D12">
        <v>-1.7609416499200035</v>
      </c>
      <c r="E12">
        <v>68.869961215999979</v>
      </c>
      <c r="F12">
        <v>88.848413508104954</v>
      </c>
      <c r="G12">
        <v>1.1506948614912198</v>
      </c>
      <c r="H12">
        <v>106.48866081508451</v>
      </c>
    </row>
    <row r="13" spans="1:8" x14ac:dyDescent="0.3">
      <c r="A13">
        <v>10</v>
      </c>
      <c r="B13">
        <v>92</v>
      </c>
      <c r="C13">
        <v>84.536621047807984</v>
      </c>
      <c r="D13">
        <v>-0.26826585948160164</v>
      </c>
      <c r="E13">
        <v>79.561035079679982</v>
      </c>
      <c r="F13">
        <v>87.590743952306468</v>
      </c>
      <c r="G13">
        <v>1.0665231909042747</v>
      </c>
      <c r="H13">
        <v>96.448601370600898</v>
      </c>
    </row>
    <row r="14" spans="1:8" x14ac:dyDescent="0.3">
      <c r="A14">
        <v>11</v>
      </c>
      <c r="B14">
        <v>76</v>
      </c>
      <c r="C14">
        <v>80.961013112995829</v>
      </c>
      <c r="D14">
        <v>-1.2604684820807674</v>
      </c>
      <c r="E14">
        <v>84.268355188326382</v>
      </c>
      <c r="F14">
        <v>86.906005382494101</v>
      </c>
      <c r="G14">
        <v>0.8818293895070819</v>
      </c>
      <c r="H14">
        <v>78.399894900812996</v>
      </c>
    </row>
    <row r="15" spans="1:8" x14ac:dyDescent="0.3">
      <c r="A15">
        <v>12</v>
      </c>
      <c r="B15">
        <v>70</v>
      </c>
      <c r="C15">
        <v>75.820326778549031</v>
      </c>
      <c r="D15">
        <v>-2.4245338377905767</v>
      </c>
      <c r="E15">
        <v>79.700544630915061</v>
      </c>
      <c r="F15">
        <v>85.631738703137586</v>
      </c>
      <c r="G15">
        <v>0.83051808753537681</v>
      </c>
      <c r="H15">
        <v>73.499707161875392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8EF2-5D0C-4C76-95CC-FE3369A2A313}">
  <dimension ref="A3:H4"/>
  <sheetViews>
    <sheetView workbookViewId="0">
      <selection activeCell="N3" sqref="N3"/>
    </sheetView>
  </sheetViews>
  <sheetFormatPr defaultRowHeight="14.4" x14ac:dyDescent="0.3"/>
  <cols>
    <col min="1" max="1" width="11.21875" bestFit="1" customWidth="1"/>
    <col min="2" max="2" width="9.33203125" bestFit="1" customWidth="1"/>
    <col min="3" max="3" width="14.21875" bestFit="1" customWidth="1"/>
    <col min="4" max="4" width="14.33203125" bestFit="1" customWidth="1"/>
    <col min="5" max="5" width="14.21875" bestFit="1" customWidth="1"/>
    <col min="6" max="6" width="16.44140625" bestFit="1" customWidth="1"/>
    <col min="7" max="7" width="16.5546875" bestFit="1" customWidth="1"/>
    <col min="8" max="8" width="16.44140625" bestFit="1" customWidth="1"/>
  </cols>
  <sheetData>
    <row r="3" spans="1:8" x14ac:dyDescent="0.3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x14ac:dyDescent="0.3">
      <c r="A4" s="10">
        <v>6.5</v>
      </c>
      <c r="B4" s="10">
        <v>1099</v>
      </c>
      <c r="C4" s="10">
        <v>1057.5226691889529</v>
      </c>
      <c r="D4" s="10">
        <v>-74.255760933272953</v>
      </c>
      <c r="E4" s="10">
        <v>909.87111531492144</v>
      </c>
      <c r="F4" s="10">
        <v>1123.9344184323731</v>
      </c>
      <c r="G4" s="10">
        <v>11.895596110860421</v>
      </c>
      <c r="H4" s="10">
        <v>743.07926444532154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EE24-9A7E-444D-B59C-0D678AA17BE9}">
  <dimension ref="A1:H18"/>
  <sheetViews>
    <sheetView workbookViewId="0">
      <selection activeCell="H24" sqref="H24"/>
    </sheetView>
  </sheetViews>
  <sheetFormatPr defaultRowHeight="14.4" x14ac:dyDescent="0.3"/>
  <cols>
    <col min="1" max="1" width="8.33203125" customWidth="1"/>
    <col min="2" max="2" width="9.6640625" customWidth="1"/>
    <col min="3" max="3" width="9.5546875" customWidth="1"/>
    <col min="4" max="4" width="9.88671875" customWidth="1"/>
    <col min="5" max="5" width="12" bestFit="1" customWidth="1"/>
    <col min="6" max="6" width="13.44140625" customWidth="1"/>
    <col min="7" max="8" width="12" bestFit="1" customWidth="1"/>
  </cols>
  <sheetData>
    <row r="1" spans="1:8" x14ac:dyDescent="0.3">
      <c r="A1" s="4" t="s">
        <v>5</v>
      </c>
      <c r="B1" s="5" t="s">
        <v>6</v>
      </c>
      <c r="C1" s="5" t="s">
        <v>7</v>
      </c>
      <c r="D1" s="5" t="s">
        <v>0</v>
      </c>
      <c r="E1" s="5" t="s">
        <v>1</v>
      </c>
      <c r="F1" s="5" t="s">
        <v>2</v>
      </c>
      <c r="G1" s="5" t="s">
        <v>3</v>
      </c>
      <c r="H1" s="6" t="s">
        <v>4</v>
      </c>
    </row>
    <row r="2" spans="1:8" x14ac:dyDescent="0.3">
      <c r="A2" s="2">
        <v>1</v>
      </c>
      <c r="B2" s="1">
        <v>120</v>
      </c>
      <c r="C2" s="1">
        <v>120</v>
      </c>
      <c r="D2" s="1">
        <v>-10</v>
      </c>
      <c r="E2" s="1"/>
      <c r="F2" s="1">
        <v>101</v>
      </c>
      <c r="G2" s="1">
        <v>1.19</v>
      </c>
      <c r="H2" s="3"/>
    </row>
    <row r="3" spans="1:8" x14ac:dyDescent="0.3">
      <c r="A3" s="2">
        <v>2</v>
      </c>
      <c r="B3" s="1">
        <v>110</v>
      </c>
      <c r="C3" s="1">
        <v>110</v>
      </c>
      <c r="D3" s="1">
        <v>-10</v>
      </c>
      <c r="E3" s="1">
        <v>110</v>
      </c>
      <c r="F3" s="1">
        <v>101</v>
      </c>
      <c r="G3" s="1">
        <v>1.0900000000000001</v>
      </c>
      <c r="H3" s="3"/>
    </row>
    <row r="4" spans="1:8" x14ac:dyDescent="0.3">
      <c r="A4" s="2">
        <v>3</v>
      </c>
      <c r="B4" s="1">
        <v>90</v>
      </c>
      <c r="C4" s="1">
        <v>96</v>
      </c>
      <c r="D4" s="1">
        <v>-12</v>
      </c>
      <c r="E4" s="1">
        <v>100</v>
      </c>
      <c r="F4" s="1">
        <v>101</v>
      </c>
      <c r="G4" s="1">
        <v>0.89</v>
      </c>
      <c r="H4" s="3"/>
    </row>
    <row r="5" spans="1:8" x14ac:dyDescent="0.3">
      <c r="A5" s="2">
        <v>4</v>
      </c>
      <c r="B5" s="1">
        <v>85</v>
      </c>
      <c r="C5" s="1">
        <v>84.4</v>
      </c>
      <c r="D5" s="1">
        <v>-11.8</v>
      </c>
      <c r="E5" s="1">
        <v>84</v>
      </c>
      <c r="F5" s="1">
        <v>101</v>
      </c>
      <c r="G5" s="1">
        <v>0.84</v>
      </c>
      <c r="H5" s="3"/>
    </row>
    <row r="6" spans="1:8" x14ac:dyDescent="0.3">
      <c r="A6" s="2">
        <v>5</v>
      </c>
      <c r="B6" s="1">
        <v>105</v>
      </c>
      <c r="C6" s="1">
        <f>0.4*B6+(1-0.4)*(C5+D5)</f>
        <v>85.56</v>
      </c>
      <c r="D6" s="1">
        <f>0.3*(C6-C5)+(1-0.3)*D5</f>
        <v>-7.9120000000000008</v>
      </c>
      <c r="E6" s="1">
        <f>C5+1*D5</f>
        <v>72.600000000000009</v>
      </c>
      <c r="F6" s="1">
        <f>0.4*(B6/G2)+(1-0.4)*(F5)</f>
        <v>95.89411764705882</v>
      </c>
      <c r="G6" s="1">
        <f>0.3*(B6/F6)+(1-0.3)*G2</f>
        <v>1.1614873021715126</v>
      </c>
      <c r="H6" s="3">
        <f>(F5+1)*G2</f>
        <v>121.38</v>
      </c>
    </row>
    <row r="7" spans="1:8" x14ac:dyDescent="0.3">
      <c r="A7" s="2">
        <v>6</v>
      </c>
      <c r="B7" s="1">
        <v>96</v>
      </c>
      <c r="C7" s="1">
        <f t="shared" ref="C7:C13" si="0">0.4*B7+(1-0.4)*(C6+D6)</f>
        <v>84.988799999999998</v>
      </c>
      <c r="D7" s="1">
        <f t="shared" ref="D7:D13" si="1">0.3*(C7-C6)+(1-0.3)*D6</f>
        <v>-5.7097600000000019</v>
      </c>
      <c r="E7" s="1">
        <f t="shared" ref="E7:E13" si="2">C6+1*D6</f>
        <v>77.647999999999996</v>
      </c>
      <c r="F7" s="1">
        <f t="shared" ref="F7:F13" si="3">0.4*(B7/G3)+(1-0.4)*(F6)</f>
        <v>92.765828386400429</v>
      </c>
      <c r="G7" s="1">
        <f t="shared" ref="G7:G13" si="4">0.3*(B7/F7)+(1-0.3)*G3</f>
        <v>1.0734591475218487</v>
      </c>
      <c r="H7" s="3">
        <f t="shared" ref="H7:H13" si="5">(F6+1)*G3</f>
        <v>105.61458823529412</v>
      </c>
    </row>
    <row r="8" spans="1:8" x14ac:dyDescent="0.3">
      <c r="A8" s="2">
        <v>7</v>
      </c>
      <c r="B8" s="1">
        <v>80</v>
      </c>
      <c r="C8" s="1">
        <f t="shared" si="0"/>
        <v>79.567423999999988</v>
      </c>
      <c r="D8" s="1">
        <f t="shared" si="1"/>
        <v>-5.6232448000000037</v>
      </c>
      <c r="E8" s="1">
        <f t="shared" si="2"/>
        <v>79.279039999999995</v>
      </c>
      <c r="F8" s="1">
        <f t="shared" si="3"/>
        <v>91.614553211615529</v>
      </c>
      <c r="G8" s="1">
        <f t="shared" si="4"/>
        <v>0.88496711285120488</v>
      </c>
      <c r="H8" s="3">
        <f t="shared" si="5"/>
        <v>83.451587263896386</v>
      </c>
    </row>
    <row r="9" spans="1:8" x14ac:dyDescent="0.3">
      <c r="A9" s="2">
        <v>8</v>
      </c>
      <c r="B9" s="1">
        <v>75</v>
      </c>
      <c r="C9" s="1">
        <f t="shared" si="0"/>
        <v>74.366507519999985</v>
      </c>
      <c r="D9" s="1">
        <f t="shared" si="1"/>
        <v>-5.4965463040000033</v>
      </c>
      <c r="E9" s="1">
        <f t="shared" si="2"/>
        <v>73.944179199999979</v>
      </c>
      <c r="F9" s="1">
        <f t="shared" si="3"/>
        <v>90.683017641255034</v>
      </c>
      <c r="G9" s="1">
        <f t="shared" si="4"/>
        <v>0.83611701887789758</v>
      </c>
      <c r="H9" s="3">
        <f t="shared" si="5"/>
        <v>77.79622469775704</v>
      </c>
    </row>
    <row r="10" spans="1:8" x14ac:dyDescent="0.3">
      <c r="A10" s="2">
        <v>9</v>
      </c>
      <c r="B10" s="1">
        <v>100</v>
      </c>
      <c r="C10" s="1">
        <f t="shared" si="0"/>
        <v>81.321976729599982</v>
      </c>
      <c r="D10" s="1">
        <f t="shared" si="1"/>
        <v>-1.7609416499200035</v>
      </c>
      <c r="E10" s="1">
        <f t="shared" si="2"/>
        <v>68.869961215999979</v>
      </c>
      <c r="F10" s="1">
        <f t="shared" si="3"/>
        <v>88.848413508104954</v>
      </c>
      <c r="G10" s="1">
        <f t="shared" si="4"/>
        <v>1.1506948614912198</v>
      </c>
      <c r="H10" s="3">
        <f t="shared" si="5"/>
        <v>106.48866081508451</v>
      </c>
    </row>
    <row r="11" spans="1:8" x14ac:dyDescent="0.3">
      <c r="A11" s="2">
        <v>10</v>
      </c>
      <c r="B11" s="1">
        <v>92</v>
      </c>
      <c r="C11" s="1">
        <f t="shared" si="0"/>
        <v>84.536621047807984</v>
      </c>
      <c r="D11" s="1">
        <f t="shared" si="1"/>
        <v>-0.26826585948160164</v>
      </c>
      <c r="E11" s="1">
        <f t="shared" si="2"/>
        <v>79.561035079679982</v>
      </c>
      <c r="F11" s="1">
        <f t="shared" si="3"/>
        <v>87.590743952306468</v>
      </c>
      <c r="G11" s="1">
        <f t="shared" si="4"/>
        <v>1.0665231909042747</v>
      </c>
      <c r="H11" s="3">
        <f t="shared" si="5"/>
        <v>96.448601370600898</v>
      </c>
    </row>
    <row r="12" spans="1:8" x14ac:dyDescent="0.3">
      <c r="A12" s="2">
        <v>11</v>
      </c>
      <c r="B12" s="1">
        <v>76</v>
      </c>
      <c r="C12" s="1">
        <f t="shared" si="0"/>
        <v>80.961013112995829</v>
      </c>
      <c r="D12" s="1">
        <f t="shared" si="1"/>
        <v>-1.2604684820807674</v>
      </c>
      <c r="E12" s="1">
        <f t="shared" si="2"/>
        <v>84.268355188326382</v>
      </c>
      <c r="F12" s="1">
        <f t="shared" si="3"/>
        <v>86.906005382494101</v>
      </c>
      <c r="G12" s="1">
        <f t="shared" si="4"/>
        <v>0.8818293895070819</v>
      </c>
      <c r="H12" s="3">
        <f t="shared" si="5"/>
        <v>78.399894900812996</v>
      </c>
    </row>
    <row r="13" spans="1:8" x14ac:dyDescent="0.3">
      <c r="A13" s="7">
        <v>12</v>
      </c>
      <c r="B13" s="8">
        <v>70</v>
      </c>
      <c r="C13" s="8">
        <f t="shared" si="0"/>
        <v>75.820326778549031</v>
      </c>
      <c r="D13" s="8">
        <f t="shared" si="1"/>
        <v>-2.4245338377905767</v>
      </c>
      <c r="E13" s="8">
        <f t="shared" si="2"/>
        <v>79.700544630915061</v>
      </c>
      <c r="F13" s="8">
        <f t="shared" si="3"/>
        <v>85.631738703137586</v>
      </c>
      <c r="G13" s="8">
        <f t="shared" si="4"/>
        <v>0.83051808753537681</v>
      </c>
      <c r="H13" s="9">
        <f t="shared" si="5"/>
        <v>73.499707161875392</v>
      </c>
    </row>
    <row r="15" spans="1:8" x14ac:dyDescent="0.3">
      <c r="A15" s="4" t="s">
        <v>8</v>
      </c>
      <c r="B15" s="5" t="s">
        <v>9</v>
      </c>
      <c r="C15" s="5" t="s">
        <v>10</v>
      </c>
      <c r="D15" s="6" t="s">
        <v>11</v>
      </c>
    </row>
    <row r="16" spans="1:8" x14ac:dyDescent="0.3">
      <c r="A16" s="2" t="s">
        <v>12</v>
      </c>
      <c r="B16" s="1">
        <v>3143.1</v>
      </c>
      <c r="C16" s="1">
        <v>10</v>
      </c>
      <c r="D16" s="3">
        <f>B16/C16</f>
        <v>314.31</v>
      </c>
      <c r="F16" s="12" t="s">
        <v>24</v>
      </c>
    </row>
    <row r="17" spans="1:4" x14ac:dyDescent="0.3">
      <c r="A17" s="2" t="s">
        <v>13</v>
      </c>
      <c r="B17" s="1">
        <v>2597.1</v>
      </c>
      <c r="C17" s="1">
        <v>11</v>
      </c>
      <c r="D17" s="3">
        <f>B17/C17</f>
        <v>236.1</v>
      </c>
    </row>
    <row r="18" spans="1:4" x14ac:dyDescent="0.3">
      <c r="A18" s="7" t="s">
        <v>14</v>
      </c>
      <c r="B18" s="8">
        <v>363.1</v>
      </c>
      <c r="C18" s="8">
        <v>8</v>
      </c>
      <c r="D18" s="9">
        <f>B18/C18</f>
        <v>45.387500000000003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1688-F050-4023-8BB5-66FD5C00B016}">
  <dimension ref="A1:D4"/>
  <sheetViews>
    <sheetView tabSelected="1" workbookViewId="0">
      <selection activeCell="D4" sqref="A1:D4"/>
    </sheetView>
  </sheetViews>
  <sheetFormatPr defaultRowHeight="14.4" x14ac:dyDescent="0.3"/>
  <sheetData>
    <row r="1" spans="1:4" x14ac:dyDescent="0.3">
      <c r="A1" t="s">
        <v>8</v>
      </c>
      <c r="B1" t="s">
        <v>9</v>
      </c>
      <c r="C1" t="s">
        <v>10</v>
      </c>
      <c r="D1" t="s">
        <v>11</v>
      </c>
    </row>
    <row r="2" spans="1:4" x14ac:dyDescent="0.3">
      <c r="A2" t="s">
        <v>12</v>
      </c>
      <c r="B2">
        <v>3143.1</v>
      </c>
      <c r="C2">
        <v>10</v>
      </c>
      <c r="D2">
        <f>B2/C2</f>
        <v>314.31</v>
      </c>
    </row>
    <row r="3" spans="1:4" x14ac:dyDescent="0.3">
      <c r="A3" t="s">
        <v>13</v>
      </c>
      <c r="B3">
        <v>2597.1</v>
      </c>
      <c r="C3">
        <v>11</v>
      </c>
      <c r="D3">
        <f>B3/C3</f>
        <v>236.1</v>
      </c>
    </row>
    <row r="4" spans="1:4" x14ac:dyDescent="0.3">
      <c r="A4" t="s">
        <v>14</v>
      </c>
      <c r="B4">
        <v>363.1</v>
      </c>
      <c r="C4">
        <v>8</v>
      </c>
      <c r="D4">
        <f>B4/C4</f>
        <v>45.387500000000003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Detail1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nhkumsutzawaung aung</dc:creator>
  <cp:lastModifiedBy>nhkumsutzawaung aung</cp:lastModifiedBy>
  <dcterms:created xsi:type="dcterms:W3CDTF">2025-11-03T06:53:54Z</dcterms:created>
  <dcterms:modified xsi:type="dcterms:W3CDTF">2025-11-04T04:41:18Z</dcterms:modified>
</cp:coreProperties>
</file>